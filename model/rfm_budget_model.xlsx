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одель" sheetId="1" state="visible" r:id="rId1"/>
    <sheet name="Сценари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06A4E"/>
      </patternFill>
    </fill>
    <fill>
      <patternFill patternType="solid">
        <fgColor rgb="00DAF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2" fontId="0" fillId="0" borderId="0" pivotButton="0" quotePrefix="0" xfId="0"/>
    <xf numFmtId="2" fontId="0" fillId="3" borderId="0" pivotButton="0" quotePrefix="0" xfId="0"/>
    <xf numFmtId="0" fontId="3" fillId="0" borderId="0" pivotButton="0" quotePrefix="0" xfId="0"/>
    <xf numFmtId="2" fontId="3" fillId="0" borderId="0" pivotButton="0" quotePrefix="0" xfId="0"/>
    <xf numFmtId="164" fontId="0" fillId="0" borderId="0" pivotButton="0" quotePrefix="0" xfId="0"/>
    <xf numFmtId="9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RFM-перераспределение бюджета · месячная модель, млн ₸</t>
        </is>
      </c>
    </row>
    <row r="2">
      <c r="A2" t="inlineStr">
        <is>
          <t>Мятные ячейки — допущения, меняйте их: всё остальное пересчитается.</t>
        </is>
      </c>
    </row>
    <row r="4">
      <c r="A4" s="2" t="inlineStr">
        <is>
          <t>Сегмент</t>
        </is>
      </c>
      <c r="B4" s="2" t="inlineStr">
        <is>
          <t>RFM-правило</t>
        </is>
      </c>
      <c r="C4" s="2" t="inlineStr">
        <is>
          <t>Клиенты</t>
        </is>
      </c>
      <c r="D4" s="2" t="inlineStr">
        <is>
          <t>Частота до</t>
        </is>
      </c>
      <c r="E4" s="2" t="inlineStr">
        <is>
          <t>Чек до, ₸</t>
        </is>
      </c>
      <c r="F4" s="2" t="inlineStr">
        <is>
          <t>Выручка до</t>
        </is>
      </c>
      <c r="G4" s="2" t="inlineStr">
        <is>
          <t>Бюджет до</t>
        </is>
      </c>
      <c r="H4" s="2" t="inlineStr">
        <is>
          <t>Бюджет после</t>
        </is>
      </c>
      <c r="I4" s="2" t="inlineStr">
        <is>
          <t>Частота после</t>
        </is>
      </c>
      <c r="J4" s="2" t="inlineStr">
        <is>
          <t>Чек после, ₸</t>
        </is>
      </c>
      <c r="K4" s="2" t="inlineStr">
        <is>
          <t>Доп. выручка</t>
        </is>
      </c>
      <c r="L4" s="2" t="inlineStr">
        <is>
          <t>Выручка после</t>
        </is>
      </c>
      <c r="M4" s="2" t="inlineStr">
        <is>
          <t>Δ выручки</t>
        </is>
      </c>
      <c r="N4" s="2" t="inlineStr">
        <is>
          <t>Δ бюджета</t>
        </is>
      </c>
      <c r="O4" s="2" t="inlineStr">
        <is>
          <t>Выручка на 1 ₸ бюджета после</t>
        </is>
      </c>
    </row>
    <row r="5">
      <c r="A5" t="inlineStr">
        <is>
          <t>Чемпионы</t>
        </is>
      </c>
      <c r="B5" t="inlineStr">
        <is>
          <t>R 4–5 · F 4–5</t>
        </is>
      </c>
      <c r="C5" s="3" t="n">
        <v>4000</v>
      </c>
      <c r="D5" s="3" t="n">
        <v>0.9</v>
      </c>
      <c r="E5" s="3" t="n">
        <v>18000</v>
      </c>
      <c r="F5" s="4">
        <f>C5*D5*E5/1000000</f>
        <v/>
      </c>
      <c r="G5" s="5" t="n">
        <v>4.5</v>
      </c>
      <c r="H5" s="5" t="n">
        <v>1.5</v>
      </c>
      <c r="I5" s="5" t="n">
        <v>0.88</v>
      </c>
      <c r="J5" s="5" t="n">
        <v>18000</v>
      </c>
      <c r="K5" s="5" t="n">
        <v>2.8</v>
      </c>
      <c r="L5" s="4">
        <f>C5*I5*J5/1000000+K5</f>
        <v/>
      </c>
      <c r="M5" s="4">
        <f>L5-F5</f>
        <v/>
      </c>
      <c r="N5" s="4">
        <f>H5-G5</f>
        <v/>
      </c>
      <c r="O5" s="4">
        <f>L5/H5</f>
        <v/>
      </c>
    </row>
    <row r="6">
      <c r="A6" t="inlineStr">
        <is>
          <t>Лояльные</t>
        </is>
      </c>
      <c r="B6" t="inlineStr">
        <is>
          <t>R 3–5 · F 3–5</t>
        </is>
      </c>
      <c r="C6" s="3" t="n">
        <v>7500</v>
      </c>
      <c r="D6" s="3" t="n">
        <v>0.45</v>
      </c>
      <c r="E6" s="3" t="n">
        <v>16000</v>
      </c>
      <c r="F6" s="4">
        <f>C6*D6*E6/1000000</f>
        <v/>
      </c>
      <c r="G6" s="5" t="n">
        <v>3</v>
      </c>
      <c r="H6" s="5" t="n">
        <v>2</v>
      </c>
      <c r="I6" s="5" t="n">
        <v>0.47</v>
      </c>
      <c r="J6" s="5" t="n">
        <v>16800</v>
      </c>
      <c r="K6" s="5" t="n">
        <v>0</v>
      </c>
      <c r="L6" s="4">
        <f>C6*I6*J6/1000000+K6</f>
        <v/>
      </c>
      <c r="M6" s="4">
        <f>L6-F6</f>
        <v/>
      </c>
      <c r="N6" s="4">
        <f>H6-G6</f>
        <v/>
      </c>
      <c r="O6" s="4">
        <f>L6/H6</f>
        <v/>
      </c>
    </row>
    <row r="7">
      <c r="A7" t="inlineStr">
        <is>
          <t>Потенциально лояльные</t>
        </is>
      </c>
      <c r="B7" t="inlineStr">
        <is>
          <t>R 4–5 · F 1–2</t>
        </is>
      </c>
      <c r="C7" s="3" t="n">
        <v>12500</v>
      </c>
      <c r="D7" s="3" t="n">
        <v>0.25</v>
      </c>
      <c r="E7" s="3" t="n">
        <v>14000</v>
      </c>
      <c r="F7" s="4">
        <f>C7*D7*E7/1000000</f>
        <v/>
      </c>
      <c r="G7" s="5" t="n">
        <v>2.5</v>
      </c>
      <c r="H7" s="5" t="n">
        <v>5</v>
      </c>
      <c r="I7" s="5" t="n">
        <v>0.35</v>
      </c>
      <c r="J7" s="5" t="n">
        <v>14000</v>
      </c>
      <c r="K7" s="5" t="n">
        <v>0</v>
      </c>
      <c r="L7" s="4">
        <f>C7*I7*J7/1000000+K7</f>
        <v/>
      </c>
      <c r="M7" s="4">
        <f>L7-F7</f>
        <v/>
      </c>
      <c r="N7" s="4">
        <f>H7-G7</f>
        <v/>
      </c>
      <c r="O7" s="4">
        <f>L7/H7</f>
        <v/>
      </c>
    </row>
    <row r="8">
      <c r="A8" t="inlineStr">
        <is>
          <t>Под угрозой оттока</t>
        </is>
      </c>
      <c r="B8" t="inlineStr">
        <is>
          <t>R 1–2 · F 3–5</t>
        </is>
      </c>
      <c r="C8" s="3" t="n">
        <v>9000</v>
      </c>
      <c r="D8" s="3" t="n">
        <v>0.12</v>
      </c>
      <c r="E8" s="3" t="n">
        <v>15000</v>
      </c>
      <c r="F8" s="4">
        <f>C8*D8*E8/1000000</f>
        <v/>
      </c>
      <c r="G8" s="5" t="n">
        <v>1.5</v>
      </c>
      <c r="H8" s="5" t="n">
        <v>3.5</v>
      </c>
      <c r="I8" s="5" t="n">
        <v>0.18</v>
      </c>
      <c r="J8" s="5" t="n">
        <v>15000</v>
      </c>
      <c r="K8" s="5" t="n">
        <v>0</v>
      </c>
      <c r="L8" s="4">
        <f>C8*I8*J8/1000000+K8</f>
        <v/>
      </c>
      <c r="M8" s="4">
        <f>L8-F8</f>
        <v/>
      </c>
      <c r="N8" s="4">
        <f>H8-G8</f>
        <v/>
      </c>
      <c r="O8" s="4">
        <f>L8/H8</f>
        <v/>
      </c>
    </row>
    <row r="9">
      <c r="A9" t="inlineStr">
        <is>
          <t>Спящие и потерянные</t>
        </is>
      </c>
      <c r="B9" t="inlineStr">
        <is>
          <t>R 1–2 · F 1–2</t>
        </is>
      </c>
      <c r="C9" s="3" t="n">
        <v>17000</v>
      </c>
      <c r="D9" s="3" t="n">
        <v>0.03</v>
      </c>
      <c r="E9" s="3" t="n">
        <v>12000</v>
      </c>
      <c r="F9" s="4">
        <f>C9*D9*E9/1000000</f>
        <v/>
      </c>
      <c r="G9" s="5" t="n">
        <v>6</v>
      </c>
      <c r="H9" s="5" t="n">
        <v>1</v>
      </c>
      <c r="I9" s="5" t="n">
        <v>0.025</v>
      </c>
      <c r="J9" s="5" t="n">
        <v>12000</v>
      </c>
      <c r="K9" s="5" t="n">
        <v>0</v>
      </c>
      <c r="L9" s="4">
        <f>C9*I9*J9/1000000+K9</f>
        <v/>
      </c>
      <c r="M9" s="4">
        <f>L9-F9</f>
        <v/>
      </c>
      <c r="N9" s="4">
        <f>H9-G9</f>
        <v/>
      </c>
      <c r="O9" s="4">
        <f>L9/H9</f>
        <v/>
      </c>
    </row>
    <row r="10">
      <c r="A10" t="inlineStr">
        <is>
          <t>Новые клиенты (привлечение)</t>
        </is>
      </c>
      <c r="B10" t="inlineStr">
        <is>
          <t>—</t>
        </is>
      </c>
      <c r="C10" s="3" t="n">
        <v>8000</v>
      </c>
      <c r="D10" s="3" t="n">
        <v>1</v>
      </c>
      <c r="E10" s="3" t="n">
        <v>14400</v>
      </c>
      <c r="F10" s="4">
        <f>C10*D10*E10/1000000</f>
        <v/>
      </c>
      <c r="G10" s="5" t="n">
        <v>12.5</v>
      </c>
      <c r="H10" s="5" t="n">
        <v>11</v>
      </c>
      <c r="I10" s="4">
        <f>D10</f>
        <v/>
      </c>
      <c r="J10" s="4">
        <f>E10</f>
        <v/>
      </c>
      <c r="K10" s="4" t="n">
        <v>0</v>
      </c>
      <c r="L10" s="4">
        <f>C10*I10*J10/1000000+K10</f>
        <v/>
      </c>
      <c r="M10" s="4">
        <f>L10-F10</f>
        <v/>
      </c>
      <c r="N10" s="4">
        <f>H10-G10</f>
        <v/>
      </c>
      <c r="O10" s="4">
        <f>L10/H10</f>
        <v/>
      </c>
    </row>
    <row r="11">
      <c r="A11" s="6" t="inlineStr">
        <is>
          <t>Итого</t>
        </is>
      </c>
      <c r="C11" s="6">
        <f>SUM(C5:C10)</f>
        <v/>
      </c>
      <c r="F11" s="7">
        <f>SUM(F5:F10)</f>
        <v/>
      </c>
      <c r="G11" s="7">
        <f>SUM(G5:G10)</f>
        <v/>
      </c>
      <c r="H11" s="7">
        <f>SUM(H5:H10)</f>
        <v/>
      </c>
      <c r="I11" s="4" t="n"/>
      <c r="J11" s="4" t="n"/>
      <c r="K11" s="7">
        <f>SUM(K5:K10)</f>
        <v/>
      </c>
      <c r="L11" s="7">
        <f>SUM(L5:L10)</f>
        <v/>
      </c>
      <c r="M11" s="7">
        <f>SUM(M5:M10)</f>
        <v/>
      </c>
      <c r="N11" s="7">
        <f>SUM(N5:N10)</f>
        <v/>
      </c>
      <c r="O11" s="4" t="n"/>
    </row>
    <row r="13">
      <c r="A13" t="inlineStr">
        <is>
          <t>Изменение бюджета</t>
        </is>
      </c>
      <c r="B13" s="8">
        <f>H11/G11-1</f>
        <v/>
      </c>
    </row>
    <row r="14">
      <c r="A14" t="inlineStr">
        <is>
          <t>Рост выручки</t>
        </is>
      </c>
      <c r="B14" s="8">
        <f>L11/F11-1</f>
        <v/>
      </c>
    </row>
    <row r="15">
      <c r="A15" t="inlineStr">
        <is>
          <t>Доля маркетинга в выручке до (CRR)</t>
        </is>
      </c>
      <c r="B15" s="8">
        <f>G11/F11</f>
        <v/>
      </c>
    </row>
    <row r="16">
      <c r="A16" t="inlineStr">
        <is>
          <t>Доля маркетинга в выручке после (CRR)</t>
        </is>
      </c>
      <c r="B16" s="8">
        <f>H11/L11</f>
        <v/>
      </c>
    </row>
    <row r="17">
      <c r="A17" t="inlineStr">
        <is>
          <t>Валовая маржа</t>
        </is>
      </c>
      <c r="B17" s="9" t="n">
        <v>0.3</v>
      </c>
    </row>
    <row r="18">
      <c r="A18" t="inlineStr">
        <is>
          <t>Эффект на валовую прибыль, млн ₸/мес</t>
        </is>
      </c>
      <c r="B18" s="10">
        <f>M11*B17+(G11-H11)</f>
        <v/>
      </c>
    </row>
    <row r="19">
      <c r="A19" t="inlineStr">
        <is>
          <t>Цель: бюджет −20% выполнена</t>
        </is>
      </c>
      <c r="B19">
        <f>IF(B13&lt;=-0.2,"да","нет")</f>
        <v/>
      </c>
    </row>
    <row r="20">
      <c r="A20" t="inlineStr">
        <is>
          <t>Цель: выручка +10% выполнена</t>
        </is>
      </c>
      <c r="B20">
        <f>IF(B14&gt;=0.1,"да","нет")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22" customWidth="1" min="5" max="5"/>
  </cols>
  <sheetData>
    <row r="1">
      <c r="A1" t="inlineStr">
        <is>
          <t>Сценарий</t>
        </is>
      </c>
      <c r="B1" t="inlineStr">
        <is>
          <t>Доля реализации целевого эффекта</t>
        </is>
      </c>
      <c r="C1" t="inlineStr">
        <is>
          <t>Выручка после, млн ₸</t>
        </is>
      </c>
      <c r="D1" t="inlineStr">
        <is>
          <t>Рост выручки</t>
        </is>
      </c>
      <c r="E1" t="inlineStr">
        <is>
          <t>Эффект на валовую прибыль, млн ₸</t>
        </is>
      </c>
    </row>
    <row r="2">
      <c r="A2" t="inlineStr">
        <is>
          <t>Пессимистичный</t>
        </is>
      </c>
      <c r="B2" t="n">
        <v>0.5</v>
      </c>
      <c r="C2" t="n">
        <v>315.62</v>
      </c>
      <c r="D2" t="n">
        <v>0.0518</v>
      </c>
      <c r="E2" t="n">
        <v>10.67</v>
      </c>
    </row>
    <row r="3">
      <c r="A3" t="inlineStr">
        <is>
          <t>Базовый</t>
        </is>
      </c>
      <c r="B3" t="n">
        <v>1</v>
      </c>
      <c r="C3" t="n">
        <v>331.23</v>
      </c>
      <c r="D3" t="n">
        <v>0.1038</v>
      </c>
      <c r="E3" t="n">
        <v>15.35</v>
      </c>
    </row>
    <row r="4">
      <c r="A4" t="inlineStr">
        <is>
          <t>Оптимистичный</t>
        </is>
      </c>
      <c r="B4" t="n">
        <v>1.3</v>
      </c>
      <c r="C4" t="n">
        <v>340.62</v>
      </c>
      <c r="D4" t="n">
        <v>0.1352</v>
      </c>
      <c r="E4" t="n">
        <v>18.17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2026-10-19T04:03:34Z</dcterms:created>
  <dcterms:modified xsi:type="dcterms:W3CDTF">2026-10-19T04:03:34Z</dcterms:modified>
</cp:coreProperties>
</file>